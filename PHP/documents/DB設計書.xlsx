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卒業研究\DB\"/>
    </mc:Choice>
  </mc:AlternateContent>
  <xr:revisionPtr revIDLastSave="0" documentId="8_{54048B5C-FF2F-4F9E-93EA-D6BAED3ED94E}" xr6:coauthVersionLast="47" xr6:coauthVersionMax="47" xr10:uidLastSave="{00000000-0000-0000-0000-000000000000}"/>
  <bookViews>
    <workbookView xWindow="1875" yWindow="5310" windowWidth="19890" windowHeight="9780" tabRatio="803" activeTab="4" xr2:uid="{0628AF84-108E-4DDF-9C52-05B33B8EBC90}"/>
  </bookViews>
  <sheets>
    <sheet name="テーブル一覧" sheetId="1" r:id="rId1"/>
    <sheet name="ユーザーテーブル" sheetId="2" r:id="rId2"/>
    <sheet name="予約テーブル" sheetId="3" r:id="rId3"/>
    <sheet name="施設テーブル" sheetId="4" r:id="rId4"/>
    <sheet name="分類テーブル" sheetId="9" r:id="rId5"/>
    <sheet name="問合せテーブル" sheetId="5" r:id="rId6"/>
    <sheet name="備品テーブル" sheetId="6" r:id="rId7"/>
    <sheet name="貸出テーブル" sheetId="7" r:id="rId8"/>
    <sheet name="拡張機能テーブル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9" l="1"/>
  <c r="H2" i="8"/>
  <c r="H2" i="3"/>
  <c r="H2" i="4"/>
  <c r="H2" i="5"/>
  <c r="H2" i="7"/>
  <c r="H2" i="6"/>
</calcChain>
</file>

<file path=xl/sharedStrings.xml><?xml version="1.0" encoding="utf-8"?>
<sst xmlns="http://schemas.openxmlformats.org/spreadsheetml/2006/main" count="380" uniqueCount="159">
  <si>
    <t>No</t>
    <phoneticPr fontId="1"/>
  </si>
  <si>
    <t>物理名</t>
    <rPh sb="0" eb="3">
      <t>ブツリメイ</t>
    </rPh>
    <phoneticPr fontId="1"/>
  </si>
  <si>
    <t>論理名</t>
    <rPh sb="0" eb="3">
      <t>ロンリメイ</t>
    </rPh>
    <phoneticPr fontId="1"/>
  </si>
  <si>
    <t>ユーザーテーブル</t>
    <phoneticPr fontId="1"/>
  </si>
  <si>
    <t>予約テーブル</t>
    <rPh sb="0" eb="2">
      <t>ヨヤク</t>
    </rPh>
    <phoneticPr fontId="1"/>
  </si>
  <si>
    <t>施設テーブル</t>
    <rPh sb="0" eb="2">
      <t>シセツ</t>
    </rPh>
    <phoneticPr fontId="1"/>
  </si>
  <si>
    <t>貸出テーブル</t>
    <rPh sb="0" eb="2">
      <t>カシダシ</t>
    </rPh>
    <phoneticPr fontId="1"/>
  </si>
  <si>
    <t>物理名</t>
    <rPh sb="0" eb="2">
      <t>ブツリ</t>
    </rPh>
    <rPh sb="2" eb="3">
      <t>メイ</t>
    </rPh>
    <phoneticPr fontId="1"/>
  </si>
  <si>
    <t>作成日</t>
    <rPh sb="0" eb="3">
      <t>サクセイビ</t>
    </rPh>
    <phoneticPr fontId="1"/>
  </si>
  <si>
    <t>更新日</t>
    <rPh sb="0" eb="3">
      <t>コウシンビ</t>
    </rPh>
    <phoneticPr fontId="1"/>
  </si>
  <si>
    <t>作成者</t>
    <rPh sb="0" eb="3">
      <t>サクセイシャ</t>
    </rPh>
    <phoneticPr fontId="1"/>
  </si>
  <si>
    <t>PK</t>
    <phoneticPr fontId="1"/>
  </si>
  <si>
    <t>FK</t>
    <phoneticPr fontId="1"/>
  </si>
  <si>
    <t>カラム名</t>
    <rPh sb="3" eb="4">
      <t>メイ</t>
    </rPh>
    <phoneticPr fontId="1"/>
  </si>
  <si>
    <t>項目名</t>
    <rPh sb="0" eb="3">
      <t>コウモクメイ</t>
    </rPh>
    <phoneticPr fontId="1"/>
  </si>
  <si>
    <t>水上紫陽</t>
    <rPh sb="0" eb="4">
      <t>ミズカミシヨウ</t>
    </rPh>
    <phoneticPr fontId="1"/>
  </si>
  <si>
    <t>備考</t>
    <rPh sb="0" eb="2">
      <t>ビコウ</t>
    </rPh>
    <phoneticPr fontId="1"/>
  </si>
  <si>
    <t>データ型</t>
    <rPh sb="3" eb="4">
      <t>カタ</t>
    </rPh>
    <phoneticPr fontId="1"/>
  </si>
  <si>
    <t>NOT NULL制約</t>
    <rPh sb="8" eb="10">
      <t>セイヤク</t>
    </rPh>
    <phoneticPr fontId="1"/>
  </si>
  <si>
    <t>例</t>
    <rPh sb="0" eb="1">
      <t>レイ</t>
    </rPh>
    <phoneticPr fontId="1"/>
  </si>
  <si>
    <t>パスワード</t>
    <phoneticPr fontId="1"/>
  </si>
  <si>
    <t>氏名</t>
    <rPh sb="0" eb="2">
      <t>シメイ</t>
    </rPh>
    <phoneticPr fontId="1"/>
  </si>
  <si>
    <t>メールアドレス</t>
    <phoneticPr fontId="1"/>
  </si>
  <si>
    <t>秘密の質問</t>
    <rPh sb="0" eb="2">
      <t>ヒミツ</t>
    </rPh>
    <rPh sb="3" eb="5">
      <t>シツモン</t>
    </rPh>
    <phoneticPr fontId="1"/>
  </si>
  <si>
    <t>秘密の質問の回答</t>
    <rPh sb="0" eb="2">
      <t>ヒミツ</t>
    </rPh>
    <rPh sb="3" eb="5">
      <t>シツモン</t>
    </rPh>
    <rPh sb="6" eb="8">
      <t>カイトウ</t>
    </rPh>
    <phoneticPr fontId="1"/>
  </si>
  <si>
    <t>予約番号</t>
    <rPh sb="0" eb="4">
      <t>ヨヤクバンゴウ</t>
    </rPh>
    <phoneticPr fontId="1"/>
  </si>
  <si>
    <t>部屋番号</t>
    <rPh sb="0" eb="4">
      <t>ヘヤバンゴウ</t>
    </rPh>
    <phoneticPr fontId="1"/>
  </si>
  <si>
    <t>最大収容人数</t>
    <rPh sb="0" eb="6">
      <t>サイダイシュウヨウニンズウ</t>
    </rPh>
    <phoneticPr fontId="1"/>
  </si>
  <si>
    <t>部屋名</t>
    <rPh sb="0" eb="3">
      <t>ヘヤメイ</t>
    </rPh>
    <phoneticPr fontId="1"/>
  </si>
  <si>
    <t>(設備)</t>
    <rPh sb="1" eb="3">
      <t>セツビ</t>
    </rPh>
    <phoneticPr fontId="1"/>
  </si>
  <si>
    <t>連番</t>
    <rPh sb="0" eb="2">
      <t>レンバン</t>
    </rPh>
    <phoneticPr fontId="1"/>
  </si>
  <si>
    <t>備品番号</t>
    <rPh sb="0" eb="4">
      <t>ビヒンバンゴウ</t>
    </rPh>
    <phoneticPr fontId="1"/>
  </si>
  <si>
    <t>備品総数</t>
    <rPh sb="0" eb="4">
      <t>ビヒンソウスウ</t>
    </rPh>
    <phoneticPr fontId="1"/>
  </si>
  <si>
    <t>備品名</t>
    <rPh sb="0" eb="3">
      <t>ビヒンメイ</t>
    </rPh>
    <phoneticPr fontId="1"/>
  </si>
  <si>
    <t>予約番号</t>
    <rPh sb="0" eb="2">
      <t>ヨヤク</t>
    </rPh>
    <rPh sb="2" eb="4">
      <t>バンゴウ</t>
    </rPh>
    <phoneticPr fontId="1"/>
  </si>
  <si>
    <t>貸出数</t>
    <rPh sb="0" eb="3">
      <t>カシダシスウ</t>
    </rPh>
    <phoneticPr fontId="1"/>
  </si>
  <si>
    <t>(合計料金)</t>
    <rPh sb="1" eb="3">
      <t>ゴウケイ</t>
    </rPh>
    <rPh sb="3" eb="5">
      <t>リョウキン</t>
    </rPh>
    <phoneticPr fontId="1"/>
  </si>
  <si>
    <t>貸出料金</t>
    <rPh sb="0" eb="2">
      <t>カシダシ</t>
    </rPh>
    <rPh sb="2" eb="4">
      <t>リョウキン</t>
    </rPh>
    <phoneticPr fontId="1"/>
  </si>
  <si>
    <t>●</t>
    <phoneticPr fontId="1"/>
  </si>
  <si>
    <t>〇</t>
    <phoneticPr fontId="1"/>
  </si>
  <si>
    <t>(時間単位)</t>
    <rPh sb="1" eb="5">
      <t>ジカンタンイ</t>
    </rPh>
    <phoneticPr fontId="1"/>
  </si>
  <si>
    <t>(時間単位あたりの料金)</t>
    <rPh sb="1" eb="5">
      <t>ジカンタンイ</t>
    </rPh>
    <rPh sb="9" eb="11">
      <t>リョウキン</t>
    </rPh>
    <phoneticPr fontId="1"/>
  </si>
  <si>
    <t>内容</t>
    <rPh sb="0" eb="2">
      <t>ナイヨウ</t>
    </rPh>
    <phoneticPr fontId="1"/>
  </si>
  <si>
    <t>ユーザー管理者区分</t>
    <rPh sb="4" eb="6">
      <t>カンリ</t>
    </rPh>
    <rPh sb="6" eb="7">
      <t>シャ</t>
    </rPh>
    <rPh sb="7" eb="9">
      <t>クブン</t>
    </rPh>
    <phoneticPr fontId="1"/>
  </si>
  <si>
    <t>ユーザーの場合'Y'、管理者の場合'A'を格納</t>
    <rPh sb="5" eb="7">
      <t>バアイ</t>
    </rPh>
    <rPh sb="11" eb="14">
      <t>カンリシャ</t>
    </rPh>
    <rPh sb="15" eb="17">
      <t>バアイ</t>
    </rPh>
    <rPh sb="21" eb="23">
      <t>カクノウ</t>
    </rPh>
    <phoneticPr fontId="1"/>
  </si>
  <si>
    <t>ユーザーID</t>
    <phoneticPr fontId="1"/>
  </si>
  <si>
    <t>格納されている数字に各質問を対応させる</t>
    <rPh sb="0" eb="2">
      <t>カクノウ</t>
    </rPh>
    <rPh sb="7" eb="9">
      <t>スウジ</t>
    </rPh>
    <rPh sb="10" eb="11">
      <t>カク</t>
    </rPh>
    <rPh sb="11" eb="13">
      <t>シツモン</t>
    </rPh>
    <rPh sb="14" eb="16">
      <t>タイオウ</t>
    </rPh>
    <phoneticPr fontId="1"/>
  </si>
  <si>
    <t>備品テーブル</t>
    <rPh sb="0" eb="2">
      <t>ビヒン</t>
    </rPh>
    <phoneticPr fontId="1"/>
  </si>
  <si>
    <t>部屋に据え置きの物や備え付けの物を記入</t>
    <rPh sb="0" eb="2">
      <t>ヘヤ</t>
    </rPh>
    <rPh sb="3" eb="4">
      <t>ス</t>
    </rPh>
    <rPh sb="5" eb="6">
      <t>オ</t>
    </rPh>
    <rPh sb="8" eb="9">
      <t>モノ</t>
    </rPh>
    <rPh sb="10" eb="11">
      <t>ソナ</t>
    </rPh>
    <rPh sb="12" eb="13">
      <t>ツ</t>
    </rPh>
    <rPh sb="15" eb="16">
      <t>モノ</t>
    </rPh>
    <rPh sb="17" eb="19">
      <t>キニュウ</t>
    </rPh>
    <phoneticPr fontId="1"/>
  </si>
  <si>
    <t>char(1)</t>
    <phoneticPr fontId="1"/>
  </si>
  <si>
    <t>int</t>
    <phoneticPr fontId="1"/>
  </si>
  <si>
    <t>smallint</t>
    <phoneticPr fontId="1"/>
  </si>
  <si>
    <t>user_table</t>
    <phoneticPr fontId="1"/>
  </si>
  <si>
    <t>reservation_table</t>
    <phoneticPr fontId="1"/>
  </si>
  <si>
    <t>facility_table</t>
    <phoneticPr fontId="1"/>
  </si>
  <si>
    <t>inquiry_table</t>
    <phoneticPr fontId="1"/>
  </si>
  <si>
    <t>問合せテーブル</t>
    <rPh sb="0" eb="2">
      <t>トイアワ</t>
    </rPh>
    <phoneticPr fontId="1"/>
  </si>
  <si>
    <t>rental_table</t>
    <phoneticPr fontId="1"/>
  </si>
  <si>
    <t>item_table</t>
    <phoneticPr fontId="1"/>
  </si>
  <si>
    <t>user_id</t>
    <phoneticPr fontId="1"/>
  </si>
  <si>
    <t>password</t>
    <phoneticPr fontId="1"/>
  </si>
  <si>
    <t>user_name</t>
    <phoneticPr fontId="1"/>
  </si>
  <si>
    <t>secret_question</t>
    <phoneticPr fontId="1"/>
  </si>
  <si>
    <t>secret_answer</t>
    <phoneticPr fontId="1"/>
  </si>
  <si>
    <t>mail_address</t>
    <phoneticPr fontId="1"/>
  </si>
  <si>
    <t>reservation_number</t>
    <phoneticPr fontId="1"/>
  </si>
  <si>
    <t>room_number</t>
    <phoneticPr fontId="1"/>
  </si>
  <si>
    <t>利用開始年月日時間</t>
    <rPh sb="7" eb="9">
      <t>ジカン</t>
    </rPh>
    <phoneticPr fontId="1"/>
  </si>
  <si>
    <t>利用終了年月日時間</t>
    <rPh sb="0" eb="2">
      <t>リヨウ</t>
    </rPh>
    <rPh sb="2" eb="4">
      <t>シュウリョウ</t>
    </rPh>
    <rPh sb="4" eb="7">
      <t>ネンガッピ</t>
    </rPh>
    <rPh sb="7" eb="9">
      <t>ジカン</t>
    </rPh>
    <phoneticPr fontId="1"/>
  </si>
  <si>
    <t>sum_of_price</t>
    <phoneticPr fontId="1"/>
  </si>
  <si>
    <t>room_name</t>
    <phoneticPr fontId="1"/>
  </si>
  <si>
    <t>max_number_of_people</t>
    <phoneticPr fontId="1"/>
  </si>
  <si>
    <t>serial_number</t>
    <phoneticPr fontId="1"/>
  </si>
  <si>
    <t>text</t>
    <phoneticPr fontId="1"/>
  </si>
  <si>
    <t>問合せ年月日時間</t>
    <rPh sb="0" eb="2">
      <t>トイアワ</t>
    </rPh>
    <rPh sb="3" eb="6">
      <t>ネンガッピ</t>
    </rPh>
    <rPh sb="6" eb="8">
      <t>ジカン</t>
    </rPh>
    <phoneticPr fontId="1"/>
  </si>
  <si>
    <t>inquily_table</t>
    <phoneticPr fontId="1"/>
  </si>
  <si>
    <t>inquily_time</t>
    <phoneticPr fontId="1"/>
  </si>
  <si>
    <t>text_category</t>
    <phoneticPr fontId="1"/>
  </si>
  <si>
    <t>item_number</t>
    <phoneticPr fontId="1"/>
  </si>
  <si>
    <t>item_name</t>
    <phoneticPr fontId="1"/>
  </si>
  <si>
    <t>total_of_item</t>
    <phoneticPr fontId="1"/>
  </si>
  <si>
    <t>rental_unit_price</t>
    <phoneticPr fontId="1"/>
  </si>
  <si>
    <t>number_of_rental</t>
    <phoneticPr fontId="1"/>
  </si>
  <si>
    <t>rental_price</t>
    <phoneticPr fontId="1"/>
  </si>
  <si>
    <t>貸出テーブル</t>
    <rPh sb="0" eb="2">
      <t>カシダシ</t>
    </rPh>
    <phoneticPr fontId="1"/>
  </si>
  <si>
    <t>start_time_of_use</t>
    <phoneticPr fontId="1"/>
  </si>
  <si>
    <t>end_time_of_use</t>
    <phoneticPr fontId="1"/>
  </si>
  <si>
    <t>time_of_unit</t>
    <phoneticPr fontId="1"/>
  </si>
  <si>
    <t>time_of_unit_price</t>
    <phoneticPr fontId="1"/>
  </si>
  <si>
    <t>js2b.ebihonnpo</t>
    <phoneticPr fontId="1"/>
  </si>
  <si>
    <t>O</t>
    <phoneticPr fontId="1"/>
  </si>
  <si>
    <t>スタジオA</t>
    <phoneticPr fontId="1"/>
  </si>
  <si>
    <t>Y</t>
    <phoneticPr fontId="1"/>
  </si>
  <si>
    <t>パイプ椅子[40]、長テーブル(50cm×200cm)[20]</t>
    <rPh sb="3" eb="5">
      <t>イス</t>
    </rPh>
    <rPh sb="10" eb="11">
      <t>ナガ</t>
    </rPh>
    <phoneticPr fontId="1"/>
  </si>
  <si>
    <t>A</t>
    <phoneticPr fontId="1"/>
  </si>
  <si>
    <t>プロジェクター</t>
    <phoneticPr fontId="1"/>
  </si>
  <si>
    <t>yoyakupassrord</t>
    <phoneticPr fontId="1"/>
  </si>
  <si>
    <t>～@outlook.jp</t>
    <phoneticPr fontId="1"/>
  </si>
  <si>
    <t>味噌ラーメン</t>
    <rPh sb="0" eb="2">
      <t>ミソ</t>
    </rPh>
    <phoneticPr fontId="1"/>
  </si>
  <si>
    <t>/2024/11/4</t>
    <phoneticPr fontId="1"/>
  </si>
  <si>
    <t>利用人数</t>
    <rPh sb="0" eb="2">
      <t>リヨウ</t>
    </rPh>
    <rPh sb="2" eb="4">
      <t>ニンズウ</t>
    </rPh>
    <phoneticPr fontId="1"/>
  </si>
  <si>
    <t>number_of_user</t>
    <phoneticPr fontId="1"/>
  </si>
  <si>
    <t>水上紫陽</t>
    <rPh sb="0" eb="4">
      <t>ミズカミシヨウ</t>
    </rPh>
    <phoneticPr fontId="1"/>
  </si>
  <si>
    <t>varchar(30)</t>
    <phoneticPr fontId="1"/>
  </si>
  <si>
    <t>datetime</t>
    <phoneticPr fontId="1"/>
  </si>
  <si>
    <t>cancel_falg</t>
    <phoneticPr fontId="1"/>
  </si>
  <si>
    <t>キャンセルフラグ</t>
    <phoneticPr fontId="1"/>
  </si>
  <si>
    <t>予約がキャンセルされたら'C'を格納</t>
    <rPh sb="0" eb="2">
      <t>ヨヤク</t>
    </rPh>
    <rPh sb="16" eb="18">
      <t>カクノウ</t>
    </rPh>
    <phoneticPr fontId="1"/>
  </si>
  <si>
    <t>rental_flag</t>
    <phoneticPr fontId="1"/>
  </si>
  <si>
    <t>貸出フラグ</t>
    <rPh sb="0" eb="2">
      <t>カシダシ</t>
    </rPh>
    <phoneticPr fontId="1"/>
  </si>
  <si>
    <t>料金フラグ</t>
    <rPh sb="0" eb="2">
      <t>リョウキン</t>
    </rPh>
    <phoneticPr fontId="1"/>
  </si>
  <si>
    <t>price_flag</t>
    <phoneticPr fontId="1"/>
  </si>
  <si>
    <t>貸出が発生する場合'R'を格納</t>
    <rPh sb="0" eb="2">
      <t>カシダシ</t>
    </rPh>
    <rPh sb="3" eb="5">
      <t>ハッセイ</t>
    </rPh>
    <rPh sb="7" eb="9">
      <t>バアイ</t>
    </rPh>
    <rPh sb="13" eb="15">
      <t>カクノウ</t>
    </rPh>
    <phoneticPr fontId="1"/>
  </si>
  <si>
    <t>料金計算が発生する場合'P'を格納</t>
    <rPh sb="0" eb="4">
      <t>リョウキンケイサン</t>
    </rPh>
    <rPh sb="5" eb="7">
      <t>ハッセイ</t>
    </rPh>
    <rPh sb="9" eb="11">
      <t>バアイ</t>
    </rPh>
    <rPh sb="15" eb="17">
      <t>カクノウ</t>
    </rPh>
    <phoneticPr fontId="1"/>
  </si>
  <si>
    <t>R</t>
    <phoneticPr fontId="1"/>
  </si>
  <si>
    <t>P</t>
    <phoneticPr fontId="1"/>
  </si>
  <si>
    <t>C</t>
    <phoneticPr fontId="1"/>
  </si>
  <si>
    <t>nvarchar(50)</t>
    <phoneticPr fontId="1"/>
  </si>
  <si>
    <t>nvarchar(20)</t>
    <phoneticPr fontId="1"/>
  </si>
  <si>
    <t>設備について記載する場合を'E'格納</t>
    <phoneticPr fontId="1"/>
  </si>
  <si>
    <t>equipment</t>
    <phoneticPr fontId="1"/>
  </si>
  <si>
    <t>equipment_flag</t>
    <phoneticPr fontId="1"/>
  </si>
  <si>
    <t>E</t>
    <phoneticPr fontId="1"/>
  </si>
  <si>
    <t>ログインしている場合'I'、ログアウトしている場合'O'を格納
新規作成時後にログインさせるので、初期値は'O'</t>
    <rPh sb="8" eb="10">
      <t>バアイ</t>
    </rPh>
    <rPh sb="23" eb="25">
      <t>バアイ</t>
    </rPh>
    <rPh sb="29" eb="31">
      <t>カクノウ</t>
    </rPh>
    <rPh sb="32" eb="36">
      <t>シンキサクセイ</t>
    </rPh>
    <rPh sb="36" eb="37">
      <t>ジ</t>
    </rPh>
    <rPh sb="37" eb="38">
      <t>ゴ</t>
    </rPh>
    <rPh sb="49" eb="52">
      <t>ショキチ</t>
    </rPh>
    <phoneticPr fontId="1"/>
  </si>
  <si>
    <t>利用可能/不可区分</t>
    <rPh sb="0" eb="4">
      <t>リヨウカノウ</t>
    </rPh>
    <rPh sb="5" eb="7">
      <t>フカ</t>
    </rPh>
    <rPh sb="7" eb="9">
      <t>クブン</t>
    </rPh>
    <phoneticPr fontId="1"/>
  </si>
  <si>
    <t>usable_category</t>
    <phoneticPr fontId="1"/>
  </si>
  <si>
    <t>ログイン状態</t>
    <rPh sb="4" eb="6">
      <t>ジョウタイ</t>
    </rPh>
    <phoneticPr fontId="1"/>
  </si>
  <si>
    <t>login_status</t>
    <phoneticPr fontId="1"/>
  </si>
  <si>
    <t>nvarchar(300)</t>
    <phoneticPr fontId="1"/>
  </si>
  <si>
    <t>varchar(50)</t>
    <phoneticPr fontId="1"/>
  </si>
  <si>
    <t>利用可能の場合'Y'、工事などで利用不可の場合'N'を格納。初期値は'Y'</t>
    <rPh sb="0" eb="4">
      <t>リヨウカノウ</t>
    </rPh>
    <rPh sb="5" eb="7">
      <t>バアイ</t>
    </rPh>
    <rPh sb="11" eb="13">
      <t>コウジ</t>
    </rPh>
    <rPh sb="16" eb="20">
      <t>リヨウフカ</t>
    </rPh>
    <rPh sb="21" eb="23">
      <t>バアイ</t>
    </rPh>
    <rPh sb="27" eb="29">
      <t>カクノウ</t>
    </rPh>
    <rPh sb="30" eb="32">
      <t>ショキ</t>
    </rPh>
    <rPh sb="32" eb="33">
      <t>チ</t>
    </rPh>
    <phoneticPr fontId="1"/>
  </si>
  <si>
    <t>yyyy-mm-dd hh:mm</t>
    <phoneticPr fontId="1"/>
  </si>
  <si>
    <t>(貸出単価)</t>
    <rPh sb="1" eb="5">
      <t>カシダシタンカ</t>
    </rPh>
    <phoneticPr fontId="1"/>
  </si>
  <si>
    <t>予約できる最小時間。1分=1</t>
    <rPh sb="0" eb="2">
      <t>ヨヤク</t>
    </rPh>
    <rPh sb="5" eb="7">
      <t>サイショウ</t>
    </rPh>
    <rPh sb="7" eb="9">
      <t>ジカン</t>
    </rPh>
    <rPh sb="11" eb="12">
      <t>プン</t>
    </rPh>
    <phoneticPr fontId="1"/>
  </si>
  <si>
    <t>設備フラグ</t>
    <rPh sb="0" eb="2">
      <t>セツビ</t>
    </rPh>
    <phoneticPr fontId="1"/>
  </si>
  <si>
    <t>拡張機能テーブル</t>
    <rPh sb="0" eb="2">
      <t>カクチョウ</t>
    </rPh>
    <rPh sb="2" eb="4">
      <t>キノウ</t>
    </rPh>
    <phoneticPr fontId="1"/>
  </si>
  <si>
    <t>extension_table</t>
    <phoneticPr fontId="1"/>
  </si>
  <si>
    <t>use_extension</t>
    <phoneticPr fontId="1"/>
  </si>
  <si>
    <t>拡張機能利用</t>
    <rPh sb="0" eb="4">
      <t>カクチョウキノウ</t>
    </rPh>
    <rPh sb="4" eb="6">
      <t>リヨウ</t>
    </rPh>
    <phoneticPr fontId="1"/>
  </si>
  <si>
    <t>利用する場合'Y'を、利用しない場合は'N'を格納</t>
    <rPh sb="0" eb="2">
      <t>リヨウ</t>
    </rPh>
    <rPh sb="4" eb="6">
      <t>バアイ</t>
    </rPh>
    <rPh sb="11" eb="13">
      <t>リヨウ</t>
    </rPh>
    <rPh sb="16" eb="18">
      <t>バアイ</t>
    </rPh>
    <rPh sb="23" eb="25">
      <t>カクノウ</t>
    </rPh>
    <phoneticPr fontId="1"/>
  </si>
  <si>
    <t>拡張機能テーブル</t>
    <rPh sb="0" eb="4">
      <t>カクチョウキノウ</t>
    </rPh>
    <phoneticPr fontId="1"/>
  </si>
  <si>
    <t>拡張機能変更日付</t>
    <rPh sb="0" eb="4">
      <t>カクチョウキノウ</t>
    </rPh>
    <rPh sb="4" eb="6">
      <t>ヘンコウ</t>
    </rPh>
    <rPh sb="6" eb="8">
      <t>ヒヅケ</t>
    </rPh>
    <phoneticPr fontId="1"/>
  </si>
  <si>
    <t>change_extension_date</t>
    <phoneticPr fontId="1"/>
  </si>
  <si>
    <t>yyyy-mm-dd hh:mm:ss</t>
    <phoneticPr fontId="1"/>
  </si>
  <si>
    <t>備考</t>
    <rPh sb="0" eb="2">
      <t>ビコウ</t>
    </rPh>
    <phoneticPr fontId="1"/>
  </si>
  <si>
    <t>何に利用するかなど、モニターに表示する情報</t>
    <rPh sb="0" eb="1">
      <t>ナニ</t>
    </rPh>
    <rPh sb="2" eb="4">
      <t>リヨウ</t>
    </rPh>
    <rPh sb="15" eb="17">
      <t>ヒョウジ</t>
    </rPh>
    <rPh sb="19" eb="21">
      <t>ジョウホウ</t>
    </rPh>
    <phoneticPr fontId="1"/>
  </si>
  <si>
    <t>nvarchar(50)</t>
    <phoneticPr fontId="1"/>
  </si>
  <si>
    <t>remark</t>
    <phoneticPr fontId="1"/>
  </si>
  <si>
    <t>○○社入社式</t>
    <rPh sb="2" eb="3">
      <t>シャ</t>
    </rPh>
    <rPh sb="3" eb="6">
      <t>ニュウシャシキ</t>
    </rPh>
    <phoneticPr fontId="1"/>
  </si>
  <si>
    <t>分類名</t>
    <rPh sb="0" eb="2">
      <t>ブンルイ</t>
    </rPh>
    <rPh sb="2" eb="3">
      <t>メイ</t>
    </rPh>
    <phoneticPr fontId="1"/>
  </si>
  <si>
    <t>category_name</t>
    <phoneticPr fontId="1"/>
  </si>
  <si>
    <t>分類番号</t>
    <rPh sb="0" eb="2">
      <t>ブンルイ</t>
    </rPh>
    <rPh sb="2" eb="4">
      <t>バンゴウ</t>
    </rPh>
    <phoneticPr fontId="1"/>
  </si>
  <si>
    <t>category_number</t>
    <phoneticPr fontId="1"/>
  </si>
  <si>
    <t>連番</t>
    <rPh sb="0" eb="2">
      <t>レンバン</t>
    </rPh>
    <phoneticPr fontId="1"/>
  </si>
  <si>
    <t>会議室</t>
    <rPh sb="0" eb="3">
      <t>カイギシツ</t>
    </rPh>
    <phoneticPr fontId="1"/>
  </si>
  <si>
    <t>数字のみで入力できない,’0’を管理者として登録</t>
    <rPh sb="0" eb="2">
      <t>スウジ</t>
    </rPh>
    <rPh sb="5" eb="7">
      <t>ニュウリョク</t>
    </rPh>
    <rPh sb="16" eb="19">
      <t>カンリシャ</t>
    </rPh>
    <rPh sb="22" eb="24">
      <t>トウロク</t>
    </rPh>
    <phoneticPr fontId="1"/>
  </si>
  <si>
    <t>計画的に利用不可にする場合'0'(管理者)で予約</t>
    <rPh sb="0" eb="2">
      <t>ケイカクテキ</t>
    </rPh>
    <rPh sb="3" eb="7">
      <t>リヨウフカ</t>
    </rPh>
    <rPh sb="10" eb="12">
      <t>バアイ</t>
    </rPh>
    <rPh sb="16" eb="19">
      <t>カンリシャ</t>
    </rPh>
    <rPh sb="21" eb="23">
      <t>ヨヤク</t>
    </rPh>
    <phoneticPr fontId="1"/>
  </si>
  <si>
    <t>category_table</t>
    <phoneticPr fontId="1"/>
  </si>
  <si>
    <t>分類テーブル</t>
    <rPh sb="0" eb="2">
      <t>ブンルイ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</si>
</sst>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  <xf numFmtId="56" fontId="0" fillId="0" borderId="1" xfId="0" applyNumberFormat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EB84-22AD-4877-8AE1-800B2AA1FE68}">
  <dimension ref="A1:C9"/>
  <sheetViews>
    <sheetView workbookViewId="0">
      <selection activeCell="C5" sqref="C5"/>
    </sheetView>
  </sheetViews>
  <sheetFormatPr defaultRowHeight="18.75" x14ac:dyDescent="0.4"/>
  <cols>
    <col min="1" max="1" width="3.875" bestFit="1" customWidth="1"/>
    <col min="2" max="2" width="16.75" bestFit="1" customWidth="1"/>
    <col min="3" max="3" width="17.25" bestFit="1" customWidth="1"/>
  </cols>
  <sheetData>
    <row r="1" spans="1:3" x14ac:dyDescent="0.4">
      <c r="A1" s="3" t="s">
        <v>0</v>
      </c>
      <c r="B1" s="3" t="s">
        <v>1</v>
      </c>
      <c r="C1" s="3" t="s">
        <v>2</v>
      </c>
    </row>
    <row r="2" spans="1:3" x14ac:dyDescent="0.4">
      <c r="A2" s="4">
        <v>1</v>
      </c>
      <c r="B2" s="2" t="s">
        <v>52</v>
      </c>
      <c r="C2" s="2" t="s">
        <v>3</v>
      </c>
    </row>
    <row r="3" spans="1:3" x14ac:dyDescent="0.4">
      <c r="A3" s="4">
        <v>2</v>
      </c>
      <c r="B3" s="2" t="s">
        <v>53</v>
      </c>
      <c r="C3" s="2" t="s">
        <v>4</v>
      </c>
    </row>
    <row r="4" spans="1:3" x14ac:dyDescent="0.4">
      <c r="A4" s="4">
        <v>3</v>
      </c>
      <c r="B4" s="2" t="s">
        <v>54</v>
      </c>
      <c r="C4" s="2" t="s">
        <v>5</v>
      </c>
    </row>
    <row r="5" spans="1:3" x14ac:dyDescent="0.4">
      <c r="A5" s="4">
        <v>4</v>
      </c>
      <c r="B5" s="2" t="s">
        <v>157</v>
      </c>
      <c r="C5" s="2" t="s">
        <v>158</v>
      </c>
    </row>
    <row r="6" spans="1:3" x14ac:dyDescent="0.4">
      <c r="A6" s="4">
        <v>5</v>
      </c>
      <c r="B6" s="2" t="s">
        <v>55</v>
      </c>
      <c r="C6" s="2" t="s">
        <v>56</v>
      </c>
    </row>
    <row r="7" spans="1:3" x14ac:dyDescent="0.4">
      <c r="A7" s="4">
        <v>6</v>
      </c>
      <c r="B7" s="2" t="s">
        <v>58</v>
      </c>
      <c r="C7" s="2" t="s">
        <v>47</v>
      </c>
    </row>
    <row r="8" spans="1:3" x14ac:dyDescent="0.4">
      <c r="A8" s="4">
        <v>7</v>
      </c>
      <c r="B8" s="2" t="s">
        <v>57</v>
      </c>
      <c r="C8" s="2" t="s">
        <v>6</v>
      </c>
    </row>
    <row r="9" spans="1:3" x14ac:dyDescent="0.4">
      <c r="A9" s="4">
        <v>8</v>
      </c>
      <c r="B9" s="2" t="s">
        <v>136</v>
      </c>
      <c r="C9" s="2" t="s">
        <v>140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A85E-E5CC-44F0-AFA6-058D44003308}">
  <dimension ref="A1:I11"/>
  <sheetViews>
    <sheetView workbookViewId="0">
      <selection activeCell="H3" sqref="H3"/>
    </sheetView>
  </sheetViews>
  <sheetFormatPr defaultRowHeight="18.75" x14ac:dyDescent="0.4"/>
  <cols>
    <col min="1" max="1" width="3.875" bestFit="1" customWidth="1"/>
    <col min="2" max="2" width="4" bestFit="1" customWidth="1"/>
    <col min="3" max="3" width="3.875" bestFit="1" customWidth="1"/>
    <col min="4" max="4" width="15.875" bestFit="1" customWidth="1"/>
    <col min="5" max="5" width="17.25" bestFit="1" customWidth="1"/>
    <col min="6" max="6" width="53.875" customWidth="1"/>
    <col min="7" max="7" width="12.625" bestFit="1" customWidth="1"/>
    <col min="8" max="8" width="15.125" bestFit="1" customWidth="1"/>
    <col min="9" max="9" width="15.375" bestFit="1" customWidth="1"/>
  </cols>
  <sheetData>
    <row r="1" spans="1:9" x14ac:dyDescent="0.4">
      <c r="A1" s="15" t="s">
        <v>7</v>
      </c>
      <c r="B1" s="15"/>
      <c r="C1" s="15"/>
      <c r="D1" s="15"/>
      <c r="E1" s="15" t="s">
        <v>2</v>
      </c>
      <c r="F1" s="15"/>
      <c r="G1" s="1" t="s">
        <v>8</v>
      </c>
      <c r="H1" s="1" t="s">
        <v>9</v>
      </c>
      <c r="I1" s="1" t="s">
        <v>10</v>
      </c>
    </row>
    <row r="2" spans="1:9" x14ac:dyDescent="0.4">
      <c r="A2" s="14" t="s">
        <v>52</v>
      </c>
      <c r="B2" s="14"/>
      <c r="C2" s="14"/>
      <c r="D2" s="14"/>
      <c r="E2" s="14" t="s">
        <v>3</v>
      </c>
      <c r="F2" s="14"/>
      <c r="G2" s="5">
        <v>45600</v>
      </c>
      <c r="H2" s="6">
        <v>45645</v>
      </c>
      <c r="I2" s="2" t="s">
        <v>15</v>
      </c>
    </row>
    <row r="3" spans="1:9" x14ac:dyDescent="0.4">
      <c r="A3" s="7" t="s">
        <v>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16</v>
      </c>
      <c r="G3" s="7" t="s">
        <v>17</v>
      </c>
      <c r="H3" s="7" t="s">
        <v>18</v>
      </c>
      <c r="I3" s="7" t="s">
        <v>19</v>
      </c>
    </row>
    <row r="4" spans="1:9" x14ac:dyDescent="0.4">
      <c r="A4" s="2">
        <v>1</v>
      </c>
      <c r="B4" s="4" t="s">
        <v>38</v>
      </c>
      <c r="C4" s="4"/>
      <c r="D4" s="2" t="s">
        <v>59</v>
      </c>
      <c r="E4" s="2" t="s">
        <v>45</v>
      </c>
      <c r="F4" s="2" t="s">
        <v>155</v>
      </c>
      <c r="G4" s="2" t="s">
        <v>103</v>
      </c>
      <c r="H4" s="4" t="s">
        <v>39</v>
      </c>
      <c r="I4" s="8" t="s">
        <v>89</v>
      </c>
    </row>
    <row r="5" spans="1:9" x14ac:dyDescent="0.4">
      <c r="A5" s="2">
        <v>2</v>
      </c>
      <c r="B5" s="4"/>
      <c r="C5" s="4"/>
      <c r="D5" s="2" t="s">
        <v>60</v>
      </c>
      <c r="E5" s="2" t="s">
        <v>20</v>
      </c>
      <c r="F5" s="2"/>
      <c r="G5" s="2" t="s">
        <v>103</v>
      </c>
      <c r="H5" s="4" t="s">
        <v>39</v>
      </c>
      <c r="I5" s="8" t="s">
        <v>96</v>
      </c>
    </row>
    <row r="6" spans="1:9" x14ac:dyDescent="0.4">
      <c r="A6" s="2">
        <v>3</v>
      </c>
      <c r="B6" s="4"/>
      <c r="C6" s="4"/>
      <c r="D6" s="2" t="s">
        <v>61</v>
      </c>
      <c r="E6" s="2" t="s">
        <v>21</v>
      </c>
      <c r="F6" s="2"/>
      <c r="G6" s="2" t="s">
        <v>118</v>
      </c>
      <c r="H6" s="4" t="s">
        <v>39</v>
      </c>
      <c r="I6" s="8" t="s">
        <v>102</v>
      </c>
    </row>
    <row r="7" spans="1:9" x14ac:dyDescent="0.4">
      <c r="A7" s="2">
        <v>4</v>
      </c>
      <c r="B7" s="4"/>
      <c r="C7" s="4"/>
      <c r="D7" s="2" t="s">
        <v>64</v>
      </c>
      <c r="E7" s="2" t="s">
        <v>22</v>
      </c>
      <c r="F7" s="2"/>
      <c r="G7" s="2" t="s">
        <v>129</v>
      </c>
      <c r="H7" s="4" t="s">
        <v>39</v>
      </c>
      <c r="I7" s="8" t="s">
        <v>97</v>
      </c>
    </row>
    <row r="8" spans="1:9" x14ac:dyDescent="0.4">
      <c r="A8" s="2">
        <v>5</v>
      </c>
      <c r="B8" s="4"/>
      <c r="C8" s="4"/>
      <c r="D8" s="2" t="s">
        <v>62</v>
      </c>
      <c r="E8" s="2" t="s">
        <v>23</v>
      </c>
      <c r="F8" s="2" t="s">
        <v>46</v>
      </c>
      <c r="G8" s="2" t="s">
        <v>49</v>
      </c>
      <c r="H8" s="4" t="s">
        <v>39</v>
      </c>
      <c r="I8" s="8">
        <v>1</v>
      </c>
    </row>
    <row r="9" spans="1:9" x14ac:dyDescent="0.4">
      <c r="A9" s="2">
        <v>6</v>
      </c>
      <c r="B9" s="4"/>
      <c r="C9" s="4"/>
      <c r="D9" s="2" t="s">
        <v>63</v>
      </c>
      <c r="E9" s="2" t="s">
        <v>24</v>
      </c>
      <c r="F9" s="2"/>
      <c r="G9" s="2" t="s">
        <v>117</v>
      </c>
      <c r="H9" s="4" t="s">
        <v>39</v>
      </c>
      <c r="I9" s="8" t="s">
        <v>98</v>
      </c>
    </row>
    <row r="10" spans="1:9" x14ac:dyDescent="0.4">
      <c r="A10" s="13">
        <v>7</v>
      </c>
      <c r="B10" s="14"/>
      <c r="C10" s="14"/>
      <c r="D10" s="13" t="s">
        <v>127</v>
      </c>
      <c r="E10" s="13" t="s">
        <v>126</v>
      </c>
      <c r="F10" s="16" t="s">
        <v>123</v>
      </c>
      <c r="G10" s="13" t="s">
        <v>49</v>
      </c>
      <c r="H10" s="14" t="s">
        <v>39</v>
      </c>
      <c r="I10" s="13" t="s">
        <v>90</v>
      </c>
    </row>
    <row r="11" spans="1:9" x14ac:dyDescent="0.4">
      <c r="A11" s="13"/>
      <c r="B11" s="14"/>
      <c r="C11" s="14"/>
      <c r="D11" s="13"/>
      <c r="E11" s="13"/>
      <c r="F11" s="13"/>
      <c r="G11" s="13"/>
      <c r="H11" s="14"/>
      <c r="I11" s="13"/>
    </row>
  </sheetData>
  <mergeCells count="13">
    <mergeCell ref="G10:G11"/>
    <mergeCell ref="H10:H11"/>
    <mergeCell ref="I10:I11"/>
    <mergeCell ref="A1:D1"/>
    <mergeCell ref="E1:F1"/>
    <mergeCell ref="A2:D2"/>
    <mergeCell ref="E2:F2"/>
    <mergeCell ref="A10:A11"/>
    <mergeCell ref="B10:B11"/>
    <mergeCell ref="C10:C11"/>
    <mergeCell ref="D10:D11"/>
    <mergeCell ref="E10:E11"/>
    <mergeCell ref="F10:F1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EE38-115B-44A6-854D-BF572A3FC2FD}">
  <dimension ref="A1:I12"/>
  <sheetViews>
    <sheetView workbookViewId="0">
      <selection sqref="A1:D1"/>
    </sheetView>
  </sheetViews>
  <sheetFormatPr defaultRowHeight="18.75" x14ac:dyDescent="0.4"/>
  <cols>
    <col min="1" max="1" width="3.875" bestFit="1" customWidth="1"/>
    <col min="2" max="2" width="4" bestFit="1" customWidth="1"/>
    <col min="3" max="3" width="5.25" bestFit="1" customWidth="1"/>
    <col min="4" max="4" width="19.375" bestFit="1" customWidth="1"/>
    <col min="5" max="5" width="19.25" bestFit="1" customWidth="1"/>
    <col min="6" max="6" width="44" bestFit="1" customWidth="1"/>
    <col min="7" max="7" width="12.625" bestFit="1" customWidth="1"/>
    <col min="8" max="8" width="15.125" bestFit="1" customWidth="1"/>
    <col min="9" max="9" width="20" bestFit="1" customWidth="1"/>
  </cols>
  <sheetData>
    <row r="1" spans="1:9" x14ac:dyDescent="0.4">
      <c r="A1" s="15" t="s">
        <v>7</v>
      </c>
      <c r="B1" s="15"/>
      <c r="C1" s="15"/>
      <c r="D1" s="15"/>
      <c r="E1" s="15" t="s">
        <v>2</v>
      </c>
      <c r="F1" s="15"/>
      <c r="G1" s="1" t="s">
        <v>8</v>
      </c>
      <c r="H1" s="1" t="s">
        <v>9</v>
      </c>
      <c r="I1" s="1" t="s">
        <v>10</v>
      </c>
    </row>
    <row r="2" spans="1:9" x14ac:dyDescent="0.4">
      <c r="A2" s="14" t="s">
        <v>53</v>
      </c>
      <c r="B2" s="14"/>
      <c r="C2" s="14"/>
      <c r="D2" s="14"/>
      <c r="E2" s="14" t="s">
        <v>4</v>
      </c>
      <c r="F2" s="14"/>
      <c r="G2" s="5" t="s">
        <v>99</v>
      </c>
      <c r="H2" s="6">
        <f>ユーザーテーブル!H2</f>
        <v>45645</v>
      </c>
      <c r="I2" s="2" t="s">
        <v>15</v>
      </c>
    </row>
    <row r="3" spans="1:9" x14ac:dyDescent="0.4">
      <c r="A3" s="7" t="s">
        <v>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16</v>
      </c>
      <c r="G3" s="7" t="s">
        <v>17</v>
      </c>
      <c r="H3" s="7" t="s">
        <v>18</v>
      </c>
      <c r="I3" s="7" t="s">
        <v>19</v>
      </c>
    </row>
    <row r="4" spans="1:9" x14ac:dyDescent="0.4">
      <c r="A4" s="2">
        <v>1</v>
      </c>
      <c r="B4" s="4" t="s">
        <v>38</v>
      </c>
      <c r="C4" s="4"/>
      <c r="D4" s="2" t="s">
        <v>65</v>
      </c>
      <c r="E4" s="2" t="s">
        <v>25</v>
      </c>
      <c r="F4" s="2" t="s">
        <v>30</v>
      </c>
      <c r="G4" s="2" t="s">
        <v>50</v>
      </c>
      <c r="H4" s="4" t="s">
        <v>39</v>
      </c>
      <c r="I4" s="8">
        <v>1234</v>
      </c>
    </row>
    <row r="5" spans="1:9" x14ac:dyDescent="0.4">
      <c r="A5" s="2">
        <v>2</v>
      </c>
      <c r="B5" s="4"/>
      <c r="C5" s="4" t="s">
        <v>38</v>
      </c>
      <c r="D5" s="2" t="s">
        <v>59</v>
      </c>
      <c r="E5" s="2" t="s">
        <v>45</v>
      </c>
      <c r="F5" s="12" t="s">
        <v>156</v>
      </c>
      <c r="G5" s="2" t="s">
        <v>103</v>
      </c>
      <c r="H5" s="4" t="s">
        <v>39</v>
      </c>
      <c r="I5" s="8" t="s">
        <v>89</v>
      </c>
    </row>
    <row r="6" spans="1:9" x14ac:dyDescent="0.4">
      <c r="A6" s="2">
        <v>3</v>
      </c>
      <c r="B6" s="4"/>
      <c r="C6" s="4" t="s">
        <v>38</v>
      </c>
      <c r="D6" s="2" t="s">
        <v>66</v>
      </c>
      <c r="E6" s="2" t="s">
        <v>26</v>
      </c>
      <c r="F6" s="2"/>
      <c r="G6" s="2" t="s">
        <v>51</v>
      </c>
      <c r="H6" s="4" t="s">
        <v>39</v>
      </c>
      <c r="I6" s="8">
        <v>11</v>
      </c>
    </row>
    <row r="7" spans="1:9" x14ac:dyDescent="0.4">
      <c r="A7" s="2">
        <v>4</v>
      </c>
      <c r="B7" s="4"/>
      <c r="C7" s="4"/>
      <c r="D7" s="2" t="s">
        <v>101</v>
      </c>
      <c r="E7" s="2" t="s">
        <v>100</v>
      </c>
      <c r="F7" s="2"/>
      <c r="G7" s="2" t="s">
        <v>50</v>
      </c>
      <c r="H7" s="4" t="s">
        <v>39</v>
      </c>
      <c r="I7" s="8">
        <v>8</v>
      </c>
    </row>
    <row r="8" spans="1:9" x14ac:dyDescent="0.4">
      <c r="A8" s="2">
        <v>5</v>
      </c>
      <c r="B8" s="4"/>
      <c r="C8" s="4"/>
      <c r="D8" s="2" t="s">
        <v>85</v>
      </c>
      <c r="E8" s="2" t="s">
        <v>67</v>
      </c>
      <c r="F8" s="2"/>
      <c r="G8" s="2" t="s">
        <v>104</v>
      </c>
      <c r="H8" s="4" t="s">
        <v>39</v>
      </c>
      <c r="I8" s="8" t="s">
        <v>131</v>
      </c>
    </row>
    <row r="9" spans="1:9" x14ac:dyDescent="0.4">
      <c r="A9" s="2">
        <v>6</v>
      </c>
      <c r="B9" s="4"/>
      <c r="C9" s="4"/>
      <c r="D9" s="2" t="s">
        <v>86</v>
      </c>
      <c r="E9" s="2" t="s">
        <v>68</v>
      </c>
      <c r="F9" s="2"/>
      <c r="G9" s="2" t="s">
        <v>104</v>
      </c>
      <c r="H9" s="4" t="s">
        <v>39</v>
      </c>
      <c r="I9" s="8" t="s">
        <v>131</v>
      </c>
    </row>
    <row r="10" spans="1:9" x14ac:dyDescent="0.4">
      <c r="A10" s="2">
        <v>7</v>
      </c>
      <c r="B10" s="4"/>
      <c r="C10" s="4"/>
      <c r="D10" s="2" t="s">
        <v>105</v>
      </c>
      <c r="E10" s="2" t="s">
        <v>106</v>
      </c>
      <c r="F10" s="2" t="s">
        <v>107</v>
      </c>
      <c r="G10" s="2" t="s">
        <v>49</v>
      </c>
      <c r="H10" s="4"/>
      <c r="I10" s="8" t="s">
        <v>116</v>
      </c>
    </row>
    <row r="11" spans="1:9" x14ac:dyDescent="0.4">
      <c r="A11" s="2">
        <v>8</v>
      </c>
      <c r="B11" s="2"/>
      <c r="C11" s="4"/>
      <c r="D11" s="2" t="s">
        <v>69</v>
      </c>
      <c r="E11" s="2" t="s">
        <v>36</v>
      </c>
      <c r="F11" s="2"/>
      <c r="G11" s="2" t="s">
        <v>50</v>
      </c>
      <c r="H11" s="4"/>
      <c r="I11" s="8">
        <v>100000</v>
      </c>
    </row>
    <row r="12" spans="1:9" x14ac:dyDescent="0.4">
      <c r="A12" s="2">
        <v>9</v>
      </c>
      <c r="B12" s="2"/>
      <c r="C12" s="2"/>
      <c r="D12" s="2" t="s">
        <v>147</v>
      </c>
      <c r="E12" s="2" t="s">
        <v>144</v>
      </c>
      <c r="F12" s="2" t="s">
        <v>145</v>
      </c>
      <c r="G12" s="2" t="s">
        <v>146</v>
      </c>
      <c r="H12" s="2"/>
      <c r="I12" s="2" t="s">
        <v>148</v>
      </c>
    </row>
  </sheetData>
  <mergeCells count="4">
    <mergeCell ref="A1:D1"/>
    <mergeCell ref="E1:F1"/>
    <mergeCell ref="A2:D2"/>
    <mergeCell ref="E2:F2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C622-5E2A-42D1-A39E-198A8719F91C}">
  <dimension ref="A1:I11"/>
  <sheetViews>
    <sheetView workbookViewId="0">
      <selection activeCell="J11" sqref="J11"/>
    </sheetView>
  </sheetViews>
  <sheetFormatPr defaultRowHeight="18.75" x14ac:dyDescent="0.4"/>
  <cols>
    <col min="1" max="1" width="3.875" bestFit="1" customWidth="1"/>
    <col min="2" max="2" width="4" bestFit="1" customWidth="1"/>
    <col min="3" max="3" width="3.875" bestFit="1" customWidth="1"/>
    <col min="4" max="4" width="23.25" bestFit="1" customWidth="1"/>
    <col min="5" max="5" width="23" bestFit="1" customWidth="1"/>
    <col min="6" max="6" width="36.625" customWidth="1"/>
    <col min="7" max="7" width="12.5" bestFit="1" customWidth="1"/>
    <col min="8" max="8" width="13.625" customWidth="1"/>
    <col min="9" max="9" width="41.625" customWidth="1"/>
  </cols>
  <sheetData>
    <row r="1" spans="1:9" x14ac:dyDescent="0.4">
      <c r="A1" s="15" t="s">
        <v>7</v>
      </c>
      <c r="B1" s="15"/>
      <c r="C1" s="15"/>
      <c r="D1" s="15"/>
      <c r="E1" s="15" t="s">
        <v>2</v>
      </c>
      <c r="F1" s="15"/>
      <c r="G1" s="1" t="s">
        <v>8</v>
      </c>
      <c r="H1" s="1" t="s">
        <v>9</v>
      </c>
      <c r="I1" s="1" t="s">
        <v>10</v>
      </c>
    </row>
    <row r="2" spans="1:9" x14ac:dyDescent="0.4">
      <c r="A2" s="14" t="s">
        <v>54</v>
      </c>
      <c r="B2" s="14"/>
      <c r="C2" s="14"/>
      <c r="D2" s="14"/>
      <c r="E2" s="14" t="s">
        <v>5</v>
      </c>
      <c r="F2" s="14"/>
      <c r="G2" s="5">
        <v>45600</v>
      </c>
      <c r="H2" s="6">
        <f>ユーザーテーブル!H2</f>
        <v>45645</v>
      </c>
      <c r="I2" s="2" t="s">
        <v>15</v>
      </c>
    </row>
    <row r="3" spans="1:9" x14ac:dyDescent="0.4">
      <c r="A3" s="7" t="s">
        <v>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16</v>
      </c>
      <c r="G3" s="7" t="s">
        <v>17</v>
      </c>
      <c r="H3" s="7" t="s">
        <v>18</v>
      </c>
      <c r="I3" s="7" t="s">
        <v>19</v>
      </c>
    </row>
    <row r="4" spans="1:9" x14ac:dyDescent="0.4">
      <c r="A4" s="2">
        <v>1</v>
      </c>
      <c r="B4" s="4" t="s">
        <v>38</v>
      </c>
      <c r="C4" s="2"/>
      <c r="D4" s="2" t="s">
        <v>66</v>
      </c>
      <c r="E4" s="2" t="s">
        <v>26</v>
      </c>
      <c r="F4" s="2" t="s">
        <v>30</v>
      </c>
      <c r="G4" s="2" t="s">
        <v>51</v>
      </c>
      <c r="H4" s="4" t="s">
        <v>39</v>
      </c>
      <c r="I4" s="8">
        <v>15</v>
      </c>
    </row>
    <row r="5" spans="1:9" x14ac:dyDescent="0.4">
      <c r="A5" s="2">
        <v>2</v>
      </c>
      <c r="B5" s="2"/>
      <c r="C5" s="2"/>
      <c r="D5" s="2" t="s">
        <v>70</v>
      </c>
      <c r="E5" s="2" t="s">
        <v>28</v>
      </c>
      <c r="F5" s="2"/>
      <c r="G5" s="2" t="s">
        <v>118</v>
      </c>
      <c r="H5" s="4" t="s">
        <v>39</v>
      </c>
      <c r="I5" s="8" t="s">
        <v>91</v>
      </c>
    </row>
    <row r="6" spans="1:9" ht="19.5" customHeight="1" x14ac:dyDescent="0.4">
      <c r="A6" s="2">
        <v>3</v>
      </c>
      <c r="B6" s="2"/>
      <c r="C6" s="2"/>
      <c r="D6" s="2" t="s">
        <v>71</v>
      </c>
      <c r="E6" s="2" t="s">
        <v>27</v>
      </c>
      <c r="F6" s="2"/>
      <c r="G6" s="2" t="s">
        <v>50</v>
      </c>
      <c r="H6" s="4" t="s">
        <v>39</v>
      </c>
      <c r="I6" s="8">
        <v>40</v>
      </c>
    </row>
    <row r="7" spans="1:9" ht="37.5" x14ac:dyDescent="0.4">
      <c r="A7" s="2">
        <v>4</v>
      </c>
      <c r="B7" s="2"/>
      <c r="C7" s="2"/>
      <c r="D7" s="2" t="s">
        <v>125</v>
      </c>
      <c r="E7" s="2" t="s">
        <v>124</v>
      </c>
      <c r="F7" s="9" t="s">
        <v>130</v>
      </c>
      <c r="G7" s="2" t="s">
        <v>49</v>
      </c>
      <c r="H7" s="4" t="s">
        <v>39</v>
      </c>
      <c r="I7" s="8" t="s">
        <v>92</v>
      </c>
    </row>
    <row r="8" spans="1:9" x14ac:dyDescent="0.4">
      <c r="A8" s="2">
        <v>5</v>
      </c>
      <c r="B8" s="2"/>
      <c r="C8" s="2"/>
      <c r="D8" s="2" t="s">
        <v>120</v>
      </c>
      <c r="E8" s="2" t="s">
        <v>29</v>
      </c>
      <c r="F8" s="2" t="s">
        <v>48</v>
      </c>
      <c r="G8" s="2" t="s">
        <v>128</v>
      </c>
      <c r="H8" s="4"/>
      <c r="I8" s="8" t="s">
        <v>93</v>
      </c>
    </row>
    <row r="9" spans="1:9" x14ac:dyDescent="0.4">
      <c r="A9" s="2">
        <v>6</v>
      </c>
      <c r="B9" s="2"/>
      <c r="C9" s="2"/>
      <c r="D9" s="2" t="s">
        <v>87</v>
      </c>
      <c r="E9" s="2" t="s">
        <v>40</v>
      </c>
      <c r="F9" s="2" t="s">
        <v>133</v>
      </c>
      <c r="G9" s="2" t="s">
        <v>51</v>
      </c>
      <c r="H9" s="4"/>
      <c r="I9" s="8">
        <v>30</v>
      </c>
    </row>
    <row r="10" spans="1:9" x14ac:dyDescent="0.4">
      <c r="A10" s="2">
        <v>7</v>
      </c>
      <c r="B10" s="2"/>
      <c r="C10" s="2"/>
      <c r="D10" s="2" t="s">
        <v>88</v>
      </c>
      <c r="E10" s="2" t="s">
        <v>41</v>
      </c>
      <c r="F10" s="2"/>
      <c r="G10" s="2" t="s">
        <v>50</v>
      </c>
      <c r="H10" s="4"/>
      <c r="I10" s="8">
        <v>700</v>
      </c>
    </row>
    <row r="11" spans="1:9" x14ac:dyDescent="0.4">
      <c r="A11" s="2">
        <v>8</v>
      </c>
      <c r="B11" s="2"/>
      <c r="C11" s="4" t="s">
        <v>38</v>
      </c>
      <c r="D11" s="2" t="s">
        <v>152</v>
      </c>
      <c r="E11" s="2" t="s">
        <v>151</v>
      </c>
      <c r="F11" s="2" t="s">
        <v>153</v>
      </c>
      <c r="G11" s="2" t="s">
        <v>51</v>
      </c>
      <c r="H11" s="2"/>
      <c r="I11" s="8">
        <v>1</v>
      </c>
    </row>
  </sheetData>
  <mergeCells count="4">
    <mergeCell ref="A1:D1"/>
    <mergeCell ref="E1:F1"/>
    <mergeCell ref="A2:D2"/>
    <mergeCell ref="E2:F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8EC2-848E-4AAB-B415-A9460F2D9F9D}">
  <dimension ref="A1:I5"/>
  <sheetViews>
    <sheetView tabSelected="1" workbookViewId="0">
      <selection activeCell="B4" sqref="B4"/>
    </sheetView>
  </sheetViews>
  <sheetFormatPr defaultRowHeight="18.75" x14ac:dyDescent="0.4"/>
  <cols>
    <col min="4" max="4" width="16.875" bestFit="1" customWidth="1"/>
    <col min="7" max="7" width="12.625" bestFit="1" customWidth="1"/>
    <col min="8" max="8" width="15.125" bestFit="1" customWidth="1"/>
  </cols>
  <sheetData>
    <row r="1" spans="1:9" x14ac:dyDescent="0.4">
      <c r="A1" s="15" t="s">
        <v>7</v>
      </c>
      <c r="B1" s="15"/>
      <c r="C1" s="15"/>
      <c r="D1" s="15"/>
      <c r="E1" s="15" t="s">
        <v>2</v>
      </c>
      <c r="F1" s="15"/>
      <c r="G1" s="1" t="s">
        <v>8</v>
      </c>
      <c r="H1" s="1" t="s">
        <v>9</v>
      </c>
      <c r="I1" s="1" t="s">
        <v>10</v>
      </c>
    </row>
    <row r="2" spans="1:9" x14ac:dyDescent="0.4">
      <c r="A2" s="14" t="s">
        <v>157</v>
      </c>
      <c r="B2" s="14"/>
      <c r="C2" s="14"/>
      <c r="D2" s="14"/>
      <c r="E2" s="14" t="s">
        <v>158</v>
      </c>
      <c r="F2" s="14"/>
      <c r="G2" s="5">
        <v>45645</v>
      </c>
      <c r="H2" s="6">
        <f>ユーザーテーブル!H2</f>
        <v>45645</v>
      </c>
      <c r="I2" s="2" t="s">
        <v>15</v>
      </c>
    </row>
    <row r="3" spans="1:9" x14ac:dyDescent="0.4">
      <c r="A3" s="7" t="s">
        <v>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16</v>
      </c>
      <c r="G3" s="7" t="s">
        <v>17</v>
      </c>
      <c r="H3" s="7" t="s">
        <v>18</v>
      </c>
      <c r="I3" s="7" t="s">
        <v>19</v>
      </c>
    </row>
    <row r="4" spans="1:9" x14ac:dyDescent="0.4">
      <c r="A4" s="2">
        <v>1</v>
      </c>
      <c r="B4" s="4" t="s">
        <v>38</v>
      </c>
      <c r="C4" s="2"/>
      <c r="D4" s="2" t="s">
        <v>152</v>
      </c>
      <c r="E4" s="2" t="s">
        <v>151</v>
      </c>
      <c r="F4" s="2" t="s">
        <v>30</v>
      </c>
      <c r="G4" s="2" t="s">
        <v>51</v>
      </c>
      <c r="H4" s="4" t="s">
        <v>39</v>
      </c>
      <c r="I4" s="8">
        <v>1</v>
      </c>
    </row>
    <row r="5" spans="1:9" x14ac:dyDescent="0.4">
      <c r="A5" s="2">
        <v>2</v>
      </c>
      <c r="B5" s="2"/>
      <c r="C5" s="2"/>
      <c r="D5" s="2" t="s">
        <v>150</v>
      </c>
      <c r="E5" s="2" t="s">
        <v>149</v>
      </c>
      <c r="F5" s="2"/>
      <c r="G5" s="2" t="s">
        <v>118</v>
      </c>
      <c r="H5" s="4" t="s">
        <v>39</v>
      </c>
      <c r="I5" s="2" t="s">
        <v>154</v>
      </c>
    </row>
  </sheetData>
  <mergeCells count="4">
    <mergeCell ref="A1:D1"/>
    <mergeCell ref="E1:F1"/>
    <mergeCell ref="A2:D2"/>
    <mergeCell ref="E2:F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0525-5FCF-4A9D-9896-F009C6D5D86A}">
  <dimension ref="A1:I8"/>
  <sheetViews>
    <sheetView workbookViewId="0">
      <selection sqref="A1:D1"/>
    </sheetView>
  </sheetViews>
  <sheetFormatPr defaultRowHeight="18.75" x14ac:dyDescent="0.4"/>
  <cols>
    <col min="1" max="1" width="3.875" bestFit="1" customWidth="1"/>
    <col min="2" max="2" width="4" bestFit="1" customWidth="1"/>
    <col min="3" max="3" width="3.875" bestFit="1" customWidth="1"/>
    <col min="4" max="4" width="14.125" bestFit="1" customWidth="1"/>
    <col min="5" max="5" width="19.25" bestFit="1" customWidth="1"/>
    <col min="6" max="6" width="40.375" bestFit="1" customWidth="1"/>
    <col min="7" max="7" width="12.5" bestFit="1" customWidth="1"/>
    <col min="8" max="8" width="15.125" bestFit="1" customWidth="1"/>
    <col min="9" max="9" width="20" bestFit="1" customWidth="1"/>
  </cols>
  <sheetData>
    <row r="1" spans="1:9" x14ac:dyDescent="0.4">
      <c r="A1" s="15" t="s">
        <v>7</v>
      </c>
      <c r="B1" s="15"/>
      <c r="C1" s="15"/>
      <c r="D1" s="15"/>
      <c r="E1" s="15" t="s">
        <v>2</v>
      </c>
      <c r="F1" s="15"/>
      <c r="G1" s="1" t="s">
        <v>8</v>
      </c>
      <c r="H1" s="1" t="s">
        <v>9</v>
      </c>
      <c r="I1" s="1" t="s">
        <v>10</v>
      </c>
    </row>
    <row r="2" spans="1:9" x14ac:dyDescent="0.4">
      <c r="A2" s="14" t="s">
        <v>75</v>
      </c>
      <c r="B2" s="14"/>
      <c r="C2" s="14"/>
      <c r="D2" s="14"/>
      <c r="E2" s="14" t="s">
        <v>56</v>
      </c>
      <c r="F2" s="14"/>
      <c r="G2" s="5">
        <v>45600</v>
      </c>
      <c r="H2" s="6">
        <f>ユーザーテーブル!H2</f>
        <v>45645</v>
      </c>
      <c r="I2" s="2" t="s">
        <v>15</v>
      </c>
    </row>
    <row r="3" spans="1:9" x14ac:dyDescent="0.4">
      <c r="A3" s="7" t="s">
        <v>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16</v>
      </c>
      <c r="G3" s="7" t="s">
        <v>17</v>
      </c>
      <c r="H3" s="7" t="s">
        <v>18</v>
      </c>
      <c r="I3" s="7" t="s">
        <v>19</v>
      </c>
    </row>
    <row r="4" spans="1:9" x14ac:dyDescent="0.4">
      <c r="A4" s="2">
        <v>1</v>
      </c>
      <c r="B4" s="4" t="s">
        <v>38</v>
      </c>
      <c r="C4" s="4" t="s">
        <v>38</v>
      </c>
      <c r="D4" s="2" t="s">
        <v>59</v>
      </c>
      <c r="E4" s="2" t="s">
        <v>45</v>
      </c>
      <c r="F4" s="2"/>
      <c r="G4" s="2" t="s">
        <v>103</v>
      </c>
      <c r="H4" s="4" t="s">
        <v>39</v>
      </c>
      <c r="I4" s="8" t="s">
        <v>89</v>
      </c>
    </row>
    <row r="5" spans="1:9" x14ac:dyDescent="0.4">
      <c r="A5" s="2">
        <v>2</v>
      </c>
      <c r="B5" s="4" t="s">
        <v>38</v>
      </c>
      <c r="C5" s="4"/>
      <c r="D5" s="2" t="s">
        <v>72</v>
      </c>
      <c r="E5" s="2" t="s">
        <v>30</v>
      </c>
      <c r="F5" s="2"/>
      <c r="G5" s="2" t="s">
        <v>50</v>
      </c>
      <c r="H5" s="4" t="s">
        <v>39</v>
      </c>
      <c r="I5" s="8">
        <v>13</v>
      </c>
    </row>
    <row r="6" spans="1:9" x14ac:dyDescent="0.4">
      <c r="A6" s="2">
        <v>3</v>
      </c>
      <c r="B6" s="4"/>
      <c r="C6" s="4"/>
      <c r="D6" s="2" t="s">
        <v>73</v>
      </c>
      <c r="E6" s="2" t="s">
        <v>42</v>
      </c>
      <c r="F6" s="2"/>
      <c r="G6" s="2" t="s">
        <v>128</v>
      </c>
      <c r="H6" s="4" t="s">
        <v>39</v>
      </c>
      <c r="I6" s="8"/>
    </row>
    <row r="7" spans="1:9" x14ac:dyDescent="0.4">
      <c r="A7" s="2">
        <v>4</v>
      </c>
      <c r="B7" s="4"/>
      <c r="C7" s="4"/>
      <c r="D7" s="2" t="s">
        <v>76</v>
      </c>
      <c r="E7" s="2" t="s">
        <v>74</v>
      </c>
      <c r="F7" s="2"/>
      <c r="G7" s="2" t="s">
        <v>104</v>
      </c>
      <c r="H7" s="8"/>
      <c r="I7" s="8" t="s">
        <v>131</v>
      </c>
    </row>
    <row r="8" spans="1:9" x14ac:dyDescent="0.4">
      <c r="A8" s="2">
        <v>5</v>
      </c>
      <c r="B8" s="4" t="s">
        <v>38</v>
      </c>
      <c r="C8" s="4"/>
      <c r="D8" s="2" t="s">
        <v>77</v>
      </c>
      <c r="E8" s="2" t="s">
        <v>43</v>
      </c>
      <c r="F8" s="2" t="s">
        <v>44</v>
      </c>
      <c r="G8" s="2" t="s">
        <v>49</v>
      </c>
      <c r="H8" s="4" t="s">
        <v>39</v>
      </c>
      <c r="I8" s="8" t="s">
        <v>94</v>
      </c>
    </row>
  </sheetData>
  <mergeCells count="4">
    <mergeCell ref="A1:D1"/>
    <mergeCell ref="E1:F1"/>
    <mergeCell ref="A2:D2"/>
    <mergeCell ref="E2:F2"/>
  </mergeCells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890F-910B-4697-BF1C-353DDB3742B5}">
  <dimension ref="A1:I7"/>
  <sheetViews>
    <sheetView workbookViewId="0">
      <selection sqref="A1:D1"/>
    </sheetView>
  </sheetViews>
  <sheetFormatPr defaultRowHeight="18.75" x14ac:dyDescent="0.4"/>
  <cols>
    <col min="1" max="1" width="3.875" bestFit="1" customWidth="1"/>
    <col min="2" max="2" width="4" bestFit="1" customWidth="1"/>
    <col min="3" max="3" width="3.875" bestFit="1" customWidth="1"/>
    <col min="4" max="4" width="16.625" bestFit="1" customWidth="1"/>
    <col min="5" max="5" width="10.5" bestFit="1" customWidth="1"/>
    <col min="7" max="7" width="12.625" bestFit="1" customWidth="1"/>
    <col min="8" max="8" width="15.125" bestFit="1" customWidth="1"/>
    <col min="9" max="9" width="15" bestFit="1" customWidth="1"/>
  </cols>
  <sheetData>
    <row r="1" spans="1:9" x14ac:dyDescent="0.4">
      <c r="A1" s="15" t="s">
        <v>7</v>
      </c>
      <c r="B1" s="15"/>
      <c r="C1" s="15"/>
      <c r="D1" s="15"/>
      <c r="E1" s="15" t="s">
        <v>2</v>
      </c>
      <c r="F1" s="15"/>
      <c r="G1" s="1" t="s">
        <v>8</v>
      </c>
      <c r="H1" s="1" t="s">
        <v>9</v>
      </c>
      <c r="I1" s="1" t="s">
        <v>10</v>
      </c>
    </row>
    <row r="2" spans="1:9" x14ac:dyDescent="0.4">
      <c r="A2" s="14" t="s">
        <v>58</v>
      </c>
      <c r="B2" s="14"/>
      <c r="C2" s="14"/>
      <c r="D2" s="14"/>
      <c r="E2" s="14" t="s">
        <v>47</v>
      </c>
      <c r="F2" s="14"/>
      <c r="G2" s="5">
        <v>45600</v>
      </c>
      <c r="H2" s="6">
        <f>ユーザーテーブル!H2</f>
        <v>45645</v>
      </c>
      <c r="I2" s="2" t="s">
        <v>15</v>
      </c>
    </row>
    <row r="3" spans="1:9" x14ac:dyDescent="0.4">
      <c r="A3" s="7" t="s">
        <v>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16</v>
      </c>
      <c r="G3" s="7" t="s">
        <v>17</v>
      </c>
      <c r="H3" s="7" t="s">
        <v>18</v>
      </c>
      <c r="I3" s="7" t="s">
        <v>19</v>
      </c>
    </row>
    <row r="4" spans="1:9" x14ac:dyDescent="0.4">
      <c r="A4" s="2">
        <v>1</v>
      </c>
      <c r="B4" s="4" t="s">
        <v>38</v>
      </c>
      <c r="C4" s="2"/>
      <c r="D4" s="2" t="s">
        <v>78</v>
      </c>
      <c r="E4" s="2" t="s">
        <v>31</v>
      </c>
      <c r="F4" s="2" t="s">
        <v>30</v>
      </c>
      <c r="G4" s="2" t="s">
        <v>51</v>
      </c>
      <c r="H4" s="4" t="s">
        <v>39</v>
      </c>
      <c r="I4" s="8">
        <v>11</v>
      </c>
    </row>
    <row r="5" spans="1:9" x14ac:dyDescent="0.4">
      <c r="A5" s="2">
        <v>2</v>
      </c>
      <c r="B5" s="2"/>
      <c r="C5" s="2"/>
      <c r="D5" s="2" t="s">
        <v>79</v>
      </c>
      <c r="E5" s="2" t="s">
        <v>33</v>
      </c>
      <c r="F5" s="2"/>
      <c r="G5" s="2" t="s">
        <v>117</v>
      </c>
      <c r="H5" s="4" t="s">
        <v>39</v>
      </c>
      <c r="I5" s="8" t="s">
        <v>95</v>
      </c>
    </row>
    <row r="6" spans="1:9" x14ac:dyDescent="0.4">
      <c r="A6" s="2">
        <v>3</v>
      </c>
      <c r="B6" s="2"/>
      <c r="C6" s="2"/>
      <c r="D6" s="2" t="s">
        <v>80</v>
      </c>
      <c r="E6" s="2" t="s">
        <v>32</v>
      </c>
      <c r="F6" s="2"/>
      <c r="G6" s="2" t="s">
        <v>50</v>
      </c>
      <c r="H6" s="4" t="s">
        <v>39</v>
      </c>
      <c r="I6" s="8">
        <v>7</v>
      </c>
    </row>
    <row r="7" spans="1:9" x14ac:dyDescent="0.4">
      <c r="A7" s="2">
        <v>4</v>
      </c>
      <c r="B7" s="2"/>
      <c r="C7" s="2"/>
      <c r="D7" s="2" t="s">
        <v>81</v>
      </c>
      <c r="E7" s="2" t="s">
        <v>132</v>
      </c>
      <c r="F7" s="2"/>
      <c r="G7" s="2" t="s">
        <v>50</v>
      </c>
      <c r="H7" s="2"/>
      <c r="I7" s="8">
        <v>10000</v>
      </c>
    </row>
  </sheetData>
  <mergeCells count="4">
    <mergeCell ref="A1:D1"/>
    <mergeCell ref="E1:F1"/>
    <mergeCell ref="A2:D2"/>
    <mergeCell ref="E2:F2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710B-DEE6-48F7-8C80-41EE9059C752}">
  <dimension ref="A1:I7"/>
  <sheetViews>
    <sheetView workbookViewId="0">
      <selection sqref="A1:D1"/>
    </sheetView>
  </sheetViews>
  <sheetFormatPr defaultRowHeight="18.75" x14ac:dyDescent="0.4"/>
  <cols>
    <col min="1" max="1" width="3.875" bestFit="1" customWidth="1"/>
    <col min="2" max="2" width="4" bestFit="1" customWidth="1"/>
    <col min="3" max="3" width="3.875" bestFit="1" customWidth="1"/>
    <col min="4" max="4" width="19.375" bestFit="1" customWidth="1"/>
    <col min="7" max="7" width="10.25" bestFit="1" customWidth="1"/>
    <col min="8" max="8" width="15.125" bestFit="1" customWidth="1"/>
  </cols>
  <sheetData>
    <row r="1" spans="1:9" x14ac:dyDescent="0.4">
      <c r="A1" s="15" t="s">
        <v>7</v>
      </c>
      <c r="B1" s="15"/>
      <c r="C1" s="15"/>
      <c r="D1" s="15"/>
      <c r="E1" s="15" t="s">
        <v>2</v>
      </c>
      <c r="F1" s="15"/>
      <c r="G1" s="1" t="s">
        <v>8</v>
      </c>
      <c r="H1" s="1" t="s">
        <v>9</v>
      </c>
      <c r="I1" s="1" t="s">
        <v>10</v>
      </c>
    </row>
    <row r="2" spans="1:9" x14ac:dyDescent="0.4">
      <c r="A2" s="14" t="s">
        <v>57</v>
      </c>
      <c r="B2" s="14"/>
      <c r="C2" s="14"/>
      <c r="D2" s="14"/>
      <c r="E2" s="14" t="s">
        <v>84</v>
      </c>
      <c r="F2" s="14"/>
      <c r="G2" s="5">
        <v>45600</v>
      </c>
      <c r="H2" s="6">
        <f>ユーザーテーブル!H2</f>
        <v>45645</v>
      </c>
      <c r="I2" s="2" t="s">
        <v>15</v>
      </c>
    </row>
    <row r="3" spans="1:9" x14ac:dyDescent="0.4">
      <c r="A3" s="7" t="s">
        <v>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16</v>
      </c>
      <c r="G3" s="7" t="s">
        <v>17</v>
      </c>
      <c r="H3" s="7" t="s">
        <v>18</v>
      </c>
      <c r="I3" s="7" t="s">
        <v>19</v>
      </c>
    </row>
    <row r="4" spans="1:9" x14ac:dyDescent="0.4">
      <c r="A4" s="2">
        <v>1</v>
      </c>
      <c r="B4" s="4" t="s">
        <v>38</v>
      </c>
      <c r="C4" s="4" t="s">
        <v>38</v>
      </c>
      <c r="D4" s="2" t="s">
        <v>65</v>
      </c>
      <c r="E4" s="2" t="s">
        <v>34</v>
      </c>
      <c r="F4" s="2"/>
      <c r="G4" s="2" t="s">
        <v>50</v>
      </c>
      <c r="H4" s="4" t="s">
        <v>39</v>
      </c>
      <c r="I4" s="8">
        <v>1234</v>
      </c>
    </row>
    <row r="5" spans="1:9" x14ac:dyDescent="0.4">
      <c r="A5" s="2">
        <v>2</v>
      </c>
      <c r="B5" s="4" t="s">
        <v>38</v>
      </c>
      <c r="C5" s="4" t="s">
        <v>38</v>
      </c>
      <c r="D5" s="2" t="s">
        <v>78</v>
      </c>
      <c r="E5" s="2" t="s">
        <v>31</v>
      </c>
      <c r="F5" s="2"/>
      <c r="G5" s="2" t="s">
        <v>51</v>
      </c>
      <c r="H5" s="4" t="s">
        <v>39</v>
      </c>
      <c r="I5" s="8">
        <v>11</v>
      </c>
    </row>
    <row r="6" spans="1:9" x14ac:dyDescent="0.4">
      <c r="A6" s="2">
        <v>3</v>
      </c>
      <c r="B6" s="2"/>
      <c r="C6" s="2"/>
      <c r="D6" s="2" t="s">
        <v>82</v>
      </c>
      <c r="E6" s="2" t="s">
        <v>35</v>
      </c>
      <c r="F6" s="2"/>
      <c r="G6" s="2" t="s">
        <v>50</v>
      </c>
      <c r="H6" s="4" t="s">
        <v>39</v>
      </c>
      <c r="I6" s="8">
        <v>3</v>
      </c>
    </row>
    <row r="7" spans="1:9" x14ac:dyDescent="0.4">
      <c r="A7" s="2">
        <v>4</v>
      </c>
      <c r="B7" s="2"/>
      <c r="C7" s="2"/>
      <c r="D7" s="2" t="s">
        <v>83</v>
      </c>
      <c r="E7" s="2" t="s">
        <v>37</v>
      </c>
      <c r="F7" s="2"/>
      <c r="G7" s="2" t="s">
        <v>50</v>
      </c>
      <c r="H7" s="4" t="s">
        <v>39</v>
      </c>
      <c r="I7" s="8">
        <v>15000</v>
      </c>
    </row>
  </sheetData>
  <mergeCells count="4">
    <mergeCell ref="A1:D1"/>
    <mergeCell ref="E1:F1"/>
    <mergeCell ref="A2:D2"/>
    <mergeCell ref="E2:F2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A543-5850-464D-9366-1540FFF9C0D2}">
  <dimension ref="A1:I8"/>
  <sheetViews>
    <sheetView workbookViewId="0">
      <selection sqref="A1:D1"/>
    </sheetView>
  </sheetViews>
  <sheetFormatPr defaultRowHeight="18.75" x14ac:dyDescent="0.4"/>
  <cols>
    <col min="1" max="1" width="3.875" bestFit="1" customWidth="1"/>
    <col min="2" max="2" width="4" bestFit="1" customWidth="1"/>
    <col min="3" max="3" width="3.875" bestFit="1" customWidth="1"/>
    <col min="4" max="4" width="23" bestFit="1" customWidth="1"/>
    <col min="5" max="5" width="17.25" bestFit="1" customWidth="1"/>
    <col min="6" max="6" width="41.125" customWidth="1"/>
    <col min="7" max="7" width="11.375" bestFit="1" customWidth="1"/>
    <col min="8" max="8" width="15.125" bestFit="1" customWidth="1"/>
    <col min="9" max="9" width="22.5" bestFit="1" customWidth="1"/>
  </cols>
  <sheetData>
    <row r="1" spans="1:9" x14ac:dyDescent="0.4">
      <c r="A1" s="15" t="s">
        <v>7</v>
      </c>
      <c r="B1" s="15"/>
      <c r="C1" s="15"/>
      <c r="D1" s="15"/>
      <c r="E1" s="15" t="s">
        <v>2</v>
      </c>
      <c r="F1" s="15"/>
      <c r="G1" s="1" t="s">
        <v>8</v>
      </c>
      <c r="H1" s="1" t="s">
        <v>9</v>
      </c>
      <c r="I1" s="1" t="s">
        <v>10</v>
      </c>
    </row>
    <row r="2" spans="1:9" x14ac:dyDescent="0.4">
      <c r="A2" s="14" t="s">
        <v>136</v>
      </c>
      <c r="B2" s="14"/>
      <c r="C2" s="14"/>
      <c r="D2" s="14"/>
      <c r="E2" s="14" t="s">
        <v>135</v>
      </c>
      <c r="F2" s="14"/>
      <c r="G2" s="5">
        <v>45607</v>
      </c>
      <c r="H2" s="6">
        <f>ユーザーテーブル!H2</f>
        <v>45645</v>
      </c>
      <c r="I2" s="2" t="s">
        <v>15</v>
      </c>
    </row>
    <row r="3" spans="1:9" x14ac:dyDescent="0.4">
      <c r="A3" s="7" t="s">
        <v>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16</v>
      </c>
      <c r="G3" s="7" t="s">
        <v>17</v>
      </c>
      <c r="H3" s="7" t="s">
        <v>18</v>
      </c>
      <c r="I3" s="7" t="s">
        <v>19</v>
      </c>
    </row>
    <row r="4" spans="1:9" x14ac:dyDescent="0.4">
      <c r="A4" s="10">
        <v>1</v>
      </c>
      <c r="B4" s="11" t="s">
        <v>38</v>
      </c>
      <c r="C4" s="10"/>
      <c r="D4" s="10" t="s">
        <v>142</v>
      </c>
      <c r="E4" s="10" t="s">
        <v>141</v>
      </c>
      <c r="F4" s="10"/>
      <c r="G4" s="10" t="s">
        <v>104</v>
      </c>
      <c r="H4" s="11" t="s">
        <v>39</v>
      </c>
      <c r="I4" s="10" t="s">
        <v>143</v>
      </c>
    </row>
    <row r="5" spans="1:9" x14ac:dyDescent="0.4">
      <c r="A5" s="2">
        <v>2</v>
      </c>
      <c r="B5" s="4"/>
      <c r="C5" s="4"/>
      <c r="D5" s="2" t="s">
        <v>137</v>
      </c>
      <c r="E5" s="2" t="s">
        <v>138</v>
      </c>
      <c r="F5" s="2" t="s">
        <v>139</v>
      </c>
      <c r="G5" s="2" t="s">
        <v>49</v>
      </c>
      <c r="H5" s="4" t="s">
        <v>39</v>
      </c>
      <c r="I5" s="8" t="s">
        <v>92</v>
      </c>
    </row>
    <row r="6" spans="1:9" x14ac:dyDescent="0.4">
      <c r="A6" s="2">
        <v>3</v>
      </c>
      <c r="B6" s="4"/>
      <c r="C6" s="4"/>
      <c r="D6" s="2" t="s">
        <v>108</v>
      </c>
      <c r="E6" s="2" t="s">
        <v>109</v>
      </c>
      <c r="F6" s="2" t="s">
        <v>112</v>
      </c>
      <c r="G6" s="2" t="s">
        <v>49</v>
      </c>
      <c r="H6" s="2"/>
      <c r="I6" s="2" t="s">
        <v>114</v>
      </c>
    </row>
    <row r="7" spans="1:9" x14ac:dyDescent="0.4">
      <c r="A7" s="2">
        <v>4</v>
      </c>
      <c r="B7" s="2"/>
      <c r="C7" s="2"/>
      <c r="D7" s="2" t="s">
        <v>111</v>
      </c>
      <c r="E7" s="2" t="s">
        <v>110</v>
      </c>
      <c r="F7" s="2" t="s">
        <v>113</v>
      </c>
      <c r="G7" s="2" t="s">
        <v>49</v>
      </c>
      <c r="H7" s="2"/>
      <c r="I7" s="2" t="s">
        <v>115</v>
      </c>
    </row>
    <row r="8" spans="1:9" x14ac:dyDescent="0.4">
      <c r="A8" s="2">
        <v>5</v>
      </c>
      <c r="B8" s="2"/>
      <c r="C8" s="2"/>
      <c r="D8" s="2" t="s">
        <v>121</v>
      </c>
      <c r="E8" s="2" t="s">
        <v>134</v>
      </c>
      <c r="F8" s="2" t="s">
        <v>119</v>
      </c>
      <c r="G8" s="2" t="s">
        <v>49</v>
      </c>
      <c r="H8" s="2"/>
      <c r="I8" s="2" t="s">
        <v>122</v>
      </c>
    </row>
  </sheetData>
  <mergeCells count="4">
    <mergeCell ref="A1:D1"/>
    <mergeCell ref="E1:F1"/>
    <mergeCell ref="A2:D2"/>
    <mergeCell ref="E2:F2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242D728ABE34447A33118EA8113F167" ma:contentTypeVersion="11" ma:contentTypeDescription="新しいドキュメントを作成します。" ma:contentTypeScope="" ma:versionID="69ecd0ce890aa54aaac50d2d5128a7d0">
  <xsd:schema xmlns:xsd="http://www.w3.org/2001/XMLSchema" xmlns:xs="http://www.w3.org/2001/XMLSchema" xmlns:p="http://schemas.microsoft.com/office/2006/metadata/properties" xmlns:ns2="0e7bcdc3-0a3b-4aba-968c-61ad0738e1f0" xmlns:ns3="6487d6e0-9a59-4347-9884-96c184d0facb" targetNamespace="http://schemas.microsoft.com/office/2006/metadata/properties" ma:root="true" ma:fieldsID="7dcb2120ae6a01c99012d320c9c5556e" ns2:_="" ns3:_="">
    <xsd:import namespace="0e7bcdc3-0a3b-4aba-968c-61ad0738e1f0"/>
    <xsd:import namespace="6487d6e0-9a59-4347-9884-96c184d0fa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bcdc3-0a3b-4aba-968c-61ad0738e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e544359-f750-479f-a9bd-ac8e8ee85f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7d6e0-9a59-4347-9884-96c184d0fa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ac95f1-345e-46f3-9d17-261200e2dcf7}" ma:internalName="TaxCatchAll" ma:showField="CatchAllData" ma:web="6487d6e0-9a59-4347-9884-96c184d0fa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87d6e0-9a59-4347-9884-96c184d0facb" xsi:nil="true"/>
    <lcf76f155ced4ddcb4097134ff3c332f xmlns="0e7bcdc3-0a3b-4aba-968c-61ad0738e1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A79A62-C383-458B-B49C-34C51C39FF53}"/>
</file>

<file path=customXml/itemProps2.xml><?xml version="1.0" encoding="utf-8"?>
<ds:datastoreItem xmlns:ds="http://schemas.openxmlformats.org/officeDocument/2006/customXml" ds:itemID="{8D9FB763-E3EE-4A27-8D9B-1B61106F66F0}"/>
</file>

<file path=customXml/itemProps3.xml><?xml version="1.0" encoding="utf-8"?>
<ds:datastoreItem xmlns:ds="http://schemas.openxmlformats.org/officeDocument/2006/customXml" ds:itemID="{11DD0E2E-0F9C-4BF7-A4D6-65E7399465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テーブル一覧</vt:lpstr>
      <vt:lpstr>ユーザーテーブル</vt:lpstr>
      <vt:lpstr>予約テーブル</vt:lpstr>
      <vt:lpstr>施設テーブル</vt:lpstr>
      <vt:lpstr>分類テーブル</vt:lpstr>
      <vt:lpstr>問合せテーブル</vt:lpstr>
      <vt:lpstr>備品テーブル</vt:lpstr>
      <vt:lpstr>貸出テーブル</vt:lpstr>
      <vt:lpstr>拡張機能テーブル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紫陽</dc:creator>
  <cp:lastModifiedBy>水上 紫陽</cp:lastModifiedBy>
  <dcterms:created xsi:type="dcterms:W3CDTF">2024-11-02T08:22:17Z</dcterms:created>
  <dcterms:modified xsi:type="dcterms:W3CDTF">2024-12-19T03:32:16Z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0x0101003242D728ABE34447A33118EA8113F167</vt:lpwstr>
  </property>
</Properties>
</file>